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coll-my.sharepoint.com/personal/1559003_stu_tmc_ac_uk/Documents/Level 3 - Year 1/TERM 3/Unit 15 Website Development/Assignment 2/assets/data/"/>
    </mc:Choice>
  </mc:AlternateContent>
  <xr:revisionPtr revIDLastSave="39" documentId="11_32E5ACE234863C62C4C9FB08A11D07CE090B100A" xr6:coauthVersionLast="47" xr6:coauthVersionMax="47" xr10:uidLastSave="{32322CD8-D5AC-406C-9C06-5DFB4CE826B2}"/>
  <bookViews>
    <workbookView xWindow="-120" yWindow="-120" windowWidth="29040" windowHeight="15720" xr2:uid="{00000000-000D-0000-FFFF-FFFF00000000}"/>
  </bookViews>
  <sheets>
    <sheet name="Asset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identifier for the asset, e.g., 'A[0-9]{3}'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Name of the asset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Type of the asset e.g., photo | illustration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Platform where the asset is hosted e.g. Pixabay | Unsplash | Pexels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URL of the preview page for the asset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Licence information for the asset (hyperlinked)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Author of the asset (hyperlinked)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Original format of the asset e.g., JPEG, PNG, JPG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Dimensions of the asset (e.g., 1920 x 1080)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Aspect ratio of the asset (e.g., 16:9)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Name of the original file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Format of the file (e.g., JPEG, PNG) - this will be editied to match the modified file format if the asset is optimised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Size of the file in bytes - this will be edited to match the modified file size if the asset is optimised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Alternative text for the asset (e.g., 'A beautiful landscape')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Date when the asset was published (e.g., 2021-02-16T13:01:07Z)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Date when the asset was accessed (e.g., 2021-02-16T13:01:07Z)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Notes or optimisation information for the asset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Direct URL to the image file (not the preview page)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Identifier for the platform the asset is hosted on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Local path to the image file</t>
        </r>
      </text>
    </comment>
  </commentList>
</comments>
</file>

<file path=xl/sharedStrings.xml><?xml version="1.0" encoding="utf-8"?>
<sst xmlns="http://schemas.openxmlformats.org/spreadsheetml/2006/main" count="482" uniqueCount="282">
  <si>
    <t>Asset ID</t>
  </si>
  <si>
    <t>Asset Name</t>
  </si>
  <si>
    <t>Asset Type</t>
  </si>
  <si>
    <t>Platform</t>
  </si>
  <si>
    <t>Source URL</t>
  </si>
  <si>
    <t>Licence</t>
  </si>
  <si>
    <t>Author</t>
  </si>
  <si>
    <t>Original Format</t>
  </si>
  <si>
    <t>Dimensions</t>
  </si>
  <si>
    <t>Aspect Ratio</t>
  </si>
  <si>
    <t>File Name</t>
  </si>
  <si>
    <t>File Format</t>
  </si>
  <si>
    <t>File Size</t>
  </si>
  <si>
    <t>Alt Text</t>
  </si>
  <si>
    <t>Date Published</t>
  </si>
  <si>
    <t>Date Accessed</t>
  </si>
  <si>
    <t>Notes / Optimisation</t>
  </si>
  <si>
    <t>Direct Image URL</t>
  </si>
  <si>
    <t>Platform ID</t>
  </si>
  <si>
    <t>Local Image Path</t>
  </si>
  <si>
    <t>A001</t>
  </si>
  <si>
    <t>iamrichahasija-7019022</t>
  </si>
  <si>
    <t>Photo</t>
  </si>
  <si>
    <t>Pixabay</t>
  </si>
  <si>
    <t>https://pixabay.com/photos/virtual-reality-vr-video-game-7019022/</t>
  </si>
  <si>
    <t>JPG</t>
  </si>
  <si>
    <t>3500 x 1787</t>
  </si>
  <si>
    <t>3500:1787</t>
  </si>
  <si>
    <t>iamrichahasija-7019022.jpg</t>
  </si>
  <si>
    <t>853 KB</t>
  </si>
  <si>
    <t>virtual reality, vr, video game, simulation, vr simulation</t>
  </si>
  <si>
    <t>N/A</t>
  </si>
  <si>
    <t>2026-06-06</t>
  </si>
  <si>
    <t>https://pixabay.com/get/g3e37fe368af1e89e7715fe585b075f49630238412a0d01ec3506ee889f9c5f947380010af423f65e15c11a5d1a03917f6c755e4317abaf9052a74540faef7760_1280.jpg</t>
  </si>
  <si>
    <t>A001-neon-strike.jpg</t>
  </si>
  <si>
    <t>A002</t>
  </si>
  <si>
    <t>ThankYouFantasyPictures-7779238</t>
  </si>
  <si>
    <t>Illustration</t>
  </si>
  <si>
    <t>https://pixabay.com/illustrations/alien-planet-asteroid-landscape-7779238/</t>
  </si>
  <si>
    <t>4096 x 2304</t>
  </si>
  <si>
    <t>16:9</t>
  </si>
  <si>
    <t>ThankYouFantasyPictures-7779238.jpg</t>
  </si>
  <si>
    <t>1.6 MB</t>
  </si>
  <si>
    <t>alien, planet, asteroid, landscape, lifeforms, sci-fi, space, crash site, spaceship, starship, ai generated</t>
  </si>
  <si>
    <t>https://pixabay.com/get/g7356229297f72a230bce42bd9ab5a4dd2cc63b0915e3872ad24eed4cb710f8a7522d48e25ee8c238f52f8a10d8a51e170282bbeaf26ba33f5e260a1788a00b3f_1280.jpg</t>
  </si>
  <si>
    <t>A002-echo-rift.jpg</t>
  </si>
  <si>
    <t>A003</t>
  </si>
  <si>
    <t>Leif Bergerson-9545744</t>
  </si>
  <si>
    <t>Pexels</t>
  </si>
  <si>
    <t>https://www.pexels.com/photo/car-on-road-with-light-streaks-9545744/</t>
  </si>
  <si>
    <t>JPEG</t>
  </si>
  <si>
    <t>3000 x 2000</t>
  </si>
  <si>
    <t>3:2</t>
  </si>
  <si>
    <t>9545744.jpeg</t>
  </si>
  <si>
    <t>A car speeds through bright laser lights at night, creating dynamic light streaks.</t>
  </si>
  <si>
    <t>https://images.pexels.com/photos/9545744/pexels-photo-9545744.jpeg</t>
  </si>
  <si>
    <t>A003-velocity-x.jpg</t>
  </si>
  <si>
    <t>A004</t>
  </si>
  <si>
    <t>JuliusH-7846679</t>
  </si>
  <si>
    <t>https://pixabay.com/illustrations/fortress-castle-fantasy-fairy-tale-7846679/</t>
  </si>
  <si>
    <t>3100 x 3100</t>
  </si>
  <si>
    <t>1:1</t>
  </si>
  <si>
    <t>JuliusH-7846679.jpg</t>
  </si>
  <si>
    <t>1.0 MB</t>
  </si>
  <si>
    <t>fortress, castle, fantasy, fairy tale, dark, mysterious, magic, mystical, graveyard, spooky</t>
  </si>
  <si>
    <t>https://pixabay.com/get/g017f3a95632013a6f28e9a75185a2ce9b0817d955a195570bbf34de54ceb9811dc94906c04f733b0f86ff19fd1af13761bf6c6045d56dbade057dba9d90175b3_1280.jpg</t>
  </si>
  <si>
    <t>A004-midnight-manor.jpg</t>
  </si>
  <si>
    <t>A005</t>
  </si>
  <si>
    <t>Dlee-782001</t>
  </si>
  <si>
    <t>https://pixabay.com/photos/fantasy-castle-cloud-sky-tower-782001/</t>
  </si>
  <si>
    <t>6000 x 4800</t>
  </si>
  <si>
    <t>5:4</t>
  </si>
  <si>
    <t>Dlee-782001.jpg</t>
  </si>
  <si>
    <t>4.5 MB</t>
  </si>
  <si>
    <t>fantasy, castle, cloud, sky, tower, fairy, medieval, magic, fairytale, dream, architecture, mystery, old, ancient, kingdom</t>
  </si>
  <si>
    <t>https://pixabay.com/get/g4a58d7d141b0097a20b22039d373368595fbdccd874e90094f39b6793b95db92b845f2985e5f5a7257f4b868a73eb9761a4146d4809365d0865764b89f7187ef_1280.jpg</t>
  </si>
  <si>
    <t>A005-skyforge-legends.jpg</t>
  </si>
  <si>
    <t>A006</t>
  </si>
  <si>
    <t>Mikhail Nilov-7660829</t>
  </si>
  <si>
    <t>https://www.pexels.com/photo/person-in-spacesuit-7660829/</t>
  </si>
  <si>
    <t>6000 x 4000</t>
  </si>
  <si>
    <t>7660829.jpeg</t>
  </si>
  <si>
    <t>A woman in a spacesuit operates a futuristic control panel, bathed in vibrant red and blue lights.</t>
  </si>
  <si>
    <t>https://images.pexels.com/photos/7660829/pexels-photo-7660829.jpeg</t>
  </si>
  <si>
    <t>A006-orbital-rescue.jpg</t>
  </si>
  <si>
    <t>A007</t>
  </si>
  <si>
    <t>unsplash-cySFWKt56TU</t>
  </si>
  <si>
    <t>Unsplash</t>
  </si>
  <si>
    <t>https://unsplash.com/photos/people-sitting-on-stadium-seats-cySFWKt56TU</t>
  </si>
  <si>
    <t>3670 x 5505</t>
  </si>
  <si>
    <t>2:3</t>
  </si>
  <si>
    <t>people-sitting-on-stadium-seats-cySFWKt56TU.jpg</t>
  </si>
  <si>
    <t>people sitting on stadium seats</t>
  </si>
  <si>
    <t>16 February 2021 at 13:01:07 UTC</t>
  </si>
  <si>
    <t>https://images.unsplash.com/photo-1613479571924-2d2227bc6f2c?crop=entropy&amp;cs=srgb&amp;fm=jpg&amp;ixid=M3w5NjA5MzF8MHwxfGFsbHx8fHx8fHx8fDE3ODA3ODMwOTN8&amp;ixlib=rb-4.1.0&amp;q=85</t>
  </si>
  <si>
    <t>cySFWKt56TU</t>
  </si>
  <si>
    <t>A007-pulse-arena.jpg</t>
  </si>
  <si>
    <t>A008</t>
  </si>
  <si>
    <t>unsplash-GSCtoEEqntQ</t>
  </si>
  <si>
    <t>https://unsplash.com/photos/brown-concrete-ruins-during-daytime-GSCtoEEqntQ</t>
  </si>
  <si>
    <t>5184 x 3456</t>
  </si>
  <si>
    <t>brown-concrete-ruins-during-daytime-GSCtoEEqntQ.jpg</t>
  </si>
  <si>
    <t>brown concrete ruins during daytime</t>
  </si>
  <si>
    <t>20 December 2017 at 01:34:37 UTC</t>
  </si>
  <si>
    <t>https://images.unsplash.com/photo-1513733582371-0adb4dac50f6?crop=entropy&amp;cs=srgb&amp;fm=jpg&amp;ixid=M3w5NjA5MzF8MHwxfGFsbHx8fHx8fHx8fDE3ODA3ODMwOTN8&amp;ixlib=rb-4.1.0&amp;q=85</t>
  </si>
  <si>
    <t>GSCtoEEqntQ</t>
  </si>
  <si>
    <t>A008-jungle-trek-vr.jpg</t>
  </si>
  <si>
    <t>A009</t>
  </si>
  <si>
    <t>unsplash-XWB920TRHG8</t>
  </si>
  <si>
    <t>https://unsplash.com/photos/a-person-in-a-mask-behind-a-chain-link-fence-XWB920TRHG8</t>
  </si>
  <si>
    <t>5952 x 3968</t>
  </si>
  <si>
    <t>a-person-in-a-mask-behind-a-chain-link-fence-XWB920TRHG8.jpg</t>
  </si>
  <si>
    <t>A person in a mask behind a chain-link fence.</t>
  </si>
  <si>
    <t>20 January 2026 at 05:39:58 UTC</t>
  </si>
  <si>
    <t>https://images.unsplash.com/photo-1768885510653-b8612c70f21d?crop=entropy&amp;cs=srgb&amp;fm=jpg&amp;ixid=M3w5NjA5MzF8MHwxfGFsbHx8fHx8fHx8fDE3ODA3ODMwOTN8&amp;ixlib=rb-4.1.0&amp;q=85</t>
  </si>
  <si>
    <t>XWB920TRHG8</t>
  </si>
  <si>
    <t>A009-stealth-protocol.jpg</t>
  </si>
  <si>
    <t>A010</t>
  </si>
  <si>
    <t>steveganger-8829753</t>
  </si>
  <si>
    <t>https://pixabay.com/illustrations/metaverse-technology-meta-virtual-8829753/</t>
  </si>
  <si>
    <t>5376 x 3584</t>
  </si>
  <si>
    <t>steveganger-8829753.jpg</t>
  </si>
  <si>
    <t>2.4 MB</t>
  </si>
  <si>
    <t>metaverse, technology, meta, virtual, reality, vr, digital, future, game, ai generated</t>
  </si>
  <si>
    <t>https://pixabay.com/get/g67b2ecb1e84c1224aea5a490715d4cd4a6e57f8b58d1630322e638bf007db7837c9cb1f992f80148da53b89cb5f203848ec6b356d7ada16cf03d7e40f28032a7_1280.jpg</t>
  </si>
  <si>
    <t>A010-astro-drift.jpg</t>
  </si>
  <si>
    <t>A011</t>
  </si>
  <si>
    <t>MeditativeKaleidoscope-8722489</t>
  </si>
  <si>
    <t>https://pixabay.com/illustrations/cave-crystal-purple-magic-amethyst-8722489/</t>
  </si>
  <si>
    <t>PNG</t>
  </si>
  <si>
    <t>8100 x 4540</t>
  </si>
  <si>
    <t>405:227</t>
  </si>
  <si>
    <t>MeditativeKaleidoscope-8722489.png</t>
  </si>
  <si>
    <t>38.2 MB</t>
  </si>
  <si>
    <t>cave, crystal, purple, magic, amethyst, diamond, mineral, quartz, zen, fantasy, surreal, mystical, ethereal, cosmic, mountains, rocks, cavern, underground, dark, light, tunnel, deep, dream, stone, blue, ai generated</t>
  </si>
  <si>
    <t>https://pixabay.com/get/g0d3f67b3075654ca3dcdd6f563f76c818c21880d269fd42ac0a9fef473953ffa1cef8e51dab6f2e7de305f1ec6930780d965e33800dec9e587f83a66467a287f_1280.png</t>
  </si>
  <si>
    <t>A011-crystal-cove.png</t>
  </si>
  <si>
    <t>A012</t>
  </si>
  <si>
    <t>PublicDomainPictures-72273</t>
  </si>
  <si>
    <t>https://pixabay.com/photos/conwy-castle-wales-medieval-72273/</t>
  </si>
  <si>
    <t>1920 x 1280</t>
  </si>
  <si>
    <t>PublicDomainPictures-72273.jpg</t>
  </si>
  <si>
    <t>916 KB</t>
  </si>
  <si>
    <t>conwy, castle, wales, medieval, history, ruins, ancient, landmark, stone, historic, fortress, historical, fort, fortification, stronghold, fortified, gray history, gray castle, gray stone</t>
  </si>
  <si>
    <t>https://pixabay.com/get/ge47be81605391c06d1e55b1d4ae7e705b6b518c039c827a56fad73dceee5007cc3333210071d127ca8456d3c5b354b30_1280.jpg</t>
  </si>
  <si>
    <t>A012-iron-bastion.jpg</t>
  </si>
  <si>
    <t>A013</t>
  </si>
  <si>
    <t>Alan_Frijns-7459835</t>
  </si>
  <si>
    <t>https://pixabay.com/photos/temple-overgrown-old-building-7459835/</t>
  </si>
  <si>
    <t>4500 x 3000</t>
  </si>
  <si>
    <t>Alan_Frijns-7459835.jpg</t>
  </si>
  <si>
    <t>temple, overgrown, old, building, foggy, path, ruin, ai generated</t>
  </si>
  <si>
    <t>https://pixabay.com/get/g5e14db7e6736a2f5fa31dbc8ac5f665bf1bbce32a3988ad439b9cf60940026c7e02cb7eb820339e935f43cb0f2bcfed0bf1da1c8302cc39475c9a3287620827a_1280.jpg</t>
  </si>
  <si>
    <t>A013-forgotten-temple.jpg</t>
  </si>
  <si>
    <t>A014</t>
  </si>
  <si>
    <t>JuliusH-8537970</t>
  </si>
  <si>
    <t>https://pixabay.com/illustrations/ai-generated-spaceship-spacecraft-8537970/</t>
  </si>
  <si>
    <t>3090 x 2114</t>
  </si>
  <si>
    <t>1545:1057</t>
  </si>
  <si>
    <t>JuliusH-8537970.jpg</t>
  </si>
  <si>
    <t>1.4 MB</t>
  </si>
  <si>
    <t>ai generated, spaceship, spacecraft, science fiction, space station, old, defect, rusty, futuristic, abandoned, war, destroyed, broken, lost places</t>
  </si>
  <si>
    <t>https://pixabay.com/get/gb1513fdb5f29f6072370011c0c98e262ff9d07404dc0ffc55f898413d8d76437fe029f89023f226fa8453b6f8ba12dbc0b231676e4af102156e59ab40255c66a_1280.jpg</t>
  </si>
  <si>
    <t>A014-last-signal.jpg</t>
  </si>
  <si>
    <t>A015</t>
  </si>
  <si>
    <t>Fidan Nazim qizi-12266872</t>
  </si>
  <si>
    <t>https://www.pexels.com/photo/bare-tree-near-brown-wooden-house-12266872/</t>
  </si>
  <si>
    <t>3464 x 2309</t>
  </si>
  <si>
    <t>3464:2309</t>
  </si>
  <si>
    <t>12266872.jpeg</t>
  </si>
  <si>
    <t>Shadowy forest cabin surrounded by dense fog, evoking mystery.</t>
  </si>
  <si>
    <t>https://images.pexels.com/photos/12266872/pexels-photo-12266872.jpeg</t>
  </si>
  <si>
    <t>A015-phantom-ward.jpg</t>
  </si>
  <si>
    <t>A016</t>
  </si>
  <si>
    <t>Stevebidmead-441708</t>
  </si>
  <si>
    <t>https://pixabay.com/illustrations/spacecraft-space-planet-spaceship-441708/</t>
  </si>
  <si>
    <t>4000 x 3000</t>
  </si>
  <si>
    <t>4:3</t>
  </si>
  <si>
    <t>Stevebidmead-441708.jpg</t>
  </si>
  <si>
    <t>1.1 MB</t>
  </si>
  <si>
    <t>spacecraft, space, planet, spaceship, rocket, space rocket, galaxy, outer space, universe, astronomy, science fiction, sci-fi, imagination, fantasy</t>
  </si>
  <si>
    <t>https://pixabay.com/get/ga5ab71c5060a4a05aa6dd80111af2dec80f79ed3abdbeb3a7123e712413c7a5f8b1fab6e48b44392cfb5ca0733ae925e88f06667fb96133563cbe6484b95e26b_1280.jpg</t>
  </si>
  <si>
    <t>A016-rocket-racers.jpg</t>
  </si>
  <si>
    <t>A017</t>
  </si>
  <si>
    <t>Radoslaw Sikorski-31897278</t>
  </si>
  <si>
    <t>https://www.pexels.com/photo/majestic-castle-surrounded-by-forest-and-water-31897278/</t>
  </si>
  <si>
    <t>8064 x 4536</t>
  </si>
  <si>
    <t>31897278.jpeg</t>
  </si>
  <si>
    <t>Aerial view of a grand castle nestled in lush green forest and bordering a calm body of water.</t>
  </si>
  <si>
    <t>https://images.pexels.com/photos/31897278/pexels-photo-31897278.jpeg</t>
  </si>
  <si>
    <t>A017-wild-west-outpost.jpg</t>
  </si>
  <si>
    <t>A018</t>
  </si>
  <si>
    <t>TheDigitalArtist-8055453</t>
  </si>
  <si>
    <t>https://pixabay.com/illustrations/ai-generated-virtual-reality-8055453/</t>
  </si>
  <si>
    <t>3120 x 2336</t>
  </si>
  <si>
    <t>195:146</t>
  </si>
  <si>
    <t>TheDigitalArtist-8055453.jpg</t>
  </si>
  <si>
    <t>ai generated, virtual reality, mountains, vr goggles, vr screen, vr, metaverse, technology</t>
  </si>
  <si>
    <t>https://pixabay.com/get/gf169595304ab3810431cf541b9a25b91413913eb06da906f108ac1369a4602e3fc126bf226dd6a69a9352f32cf48641325f190841c257400313206937543d63d_1280.jpg</t>
  </si>
  <si>
    <t>A018-aqua-arena.jpg</t>
  </si>
  <si>
    <t>A019</t>
  </si>
  <si>
    <t>GrayWayNorth-9452413</t>
  </si>
  <si>
    <t>https://pixabay.com/illustrations/ai-generated-castle-gothic-vintage-9452413/</t>
  </si>
  <si>
    <t>3000 x 3000</t>
  </si>
  <si>
    <t>GrayWayNorth-9452413.png</t>
  </si>
  <si>
    <t>7.3 MB</t>
  </si>
  <si>
    <t>ai generated, castle, gothic, vintage, game, fantasy, dungeon, story, twilight, magic, mysterious, dark, mystical, daemon</t>
  </si>
  <si>
    <t>https://pixabay.com/get/g12be1220b7afdb4e4ac2e61b4f184a899ebfcc564b41c813c739ae5a2e7f235086dde407cb0cdb32f8ecf37eb8ee32ea19a9dbbac647079b176e7a177a87d56a_1280.png</t>
  </si>
  <si>
    <t>A019-arcane-tower.png</t>
  </si>
  <si>
    <t>A020</t>
  </si>
  <si>
    <t>TheDigitalArtist-8299635</t>
  </si>
  <si>
    <t>https://pixabay.com/illustrations/ai-generated-technology-future-8299635/</t>
  </si>
  <si>
    <t>3360 x 2807</t>
  </si>
  <si>
    <t>480:401</t>
  </si>
  <si>
    <t>TheDigitalArtist-8299635.jpg</t>
  </si>
  <si>
    <t>ai generated, technology, future, digital, data, futuristic, electrons, particles, physics, science, quantum</t>
  </si>
  <si>
    <t>https://pixabay.com/get/gfa1bdbc06b0506cedfedb4137541c3e9e47e2ca8e9934bacf83a441dc608d8b940bfcb789e79e930f6c4c3cf5365ecb60a2a2bd10cd1efcf1ad8481c12e04b25_1280.jpg</t>
  </si>
  <si>
    <t>A020-quantum-runners.jpg</t>
  </si>
  <si>
    <t>A021</t>
  </si>
  <si>
    <t>AberrantRealities-8813871</t>
  </si>
  <si>
    <t>https://pixabay.com/illustrations/ai-generated-chapel-medieval-8813871/</t>
  </si>
  <si>
    <t>6720 x 4480</t>
  </si>
  <si>
    <t>AberrantRealities-8813871.jpg</t>
  </si>
  <si>
    <t>5.5 MB</t>
  </si>
  <si>
    <t>ai generated, chapel, medieval, religion, christianity, indoors, spirituality, architecture, dark, catholicism, altar, old, candle, gothic style, spooky, history, famous place, cultures, night, cross, praying, ancient, god, mystery, cryptic</t>
  </si>
  <si>
    <t>https://pixabay.com/get/g59cde2c4c4bda6d6c5f5f9e87dae5480a647416c318ce049ffb66bdb36c9dcb3202bcd80b360f74581292af172d1092c9cc9ef28f7d1a4e77ff3bd2e3293a285_1280.jpg</t>
  </si>
  <si>
    <t>A021-bone-chapel.jpg</t>
  </si>
  <si>
    <t>A022</t>
  </si>
  <si>
    <t>AMRULQAYS-8510076</t>
  </si>
  <si>
    <t>https://pixabay.com/illustrations/race-car-speed-action-competition-8510076/</t>
  </si>
  <si>
    <t>8736 x 4896</t>
  </si>
  <si>
    <t>91:51</t>
  </si>
  <si>
    <t>AMRULQAYS-8510076.jpg</t>
  </si>
  <si>
    <t>5.9 MB</t>
  </si>
  <si>
    <t>race, car, speed, action, competition, vehicle, fast, automobile, auto, formula, racing, wheel, tyre, stadium, circuit, grand prix, motorsport, track, sports, ferrari, prix, formula one, ai generated</t>
  </si>
  <si>
    <t>https://pixabay.com/get/ge7aa0da67e0c45b821e8656b41dfbfa8d19001c8f8233f4c31d850f244f8410c48e3dec0e23c38a3440ea1925839f45f5c12687b504e91ccc8a84920cfa3220b_1280.jpg</t>
  </si>
  <si>
    <t>A022-sonic-circuit.jpg</t>
  </si>
  <si>
    <t>A023</t>
  </si>
  <si>
    <t>Thesoundofcalmness-9307948</t>
  </si>
  <si>
    <t>https://pixabay.com/photos/alien-planet-exploration-9307948/</t>
  </si>
  <si>
    <t>5000 x 5000</t>
  </si>
  <si>
    <t>Thesoundofcalmness-9307948.jpg</t>
  </si>
  <si>
    <t>2.0 MB</t>
  </si>
  <si>
    <t>alien planet, exploration, otherworldly beauty, alien world, cosmic scenery, interstellar beauty, surreal alien terrain, alien vista, extraterrestrial aesthetics, mysterious, beauty beyond earth, discovery, galactic landscape, sci-fi, fantasy</t>
  </si>
  <si>
    <t>https://pixabay.com/get/g31ba4d83c368418efb19516588bd02e625246db0f33430e542d311822bc2157e105a7d624237fafc2ba0ff69732f2eda87bab7309004450837095ba7f86ed355_1280.jpg</t>
  </si>
  <si>
    <t>A023-cosmic-garden.jpg</t>
  </si>
  <si>
    <t>A024</t>
  </si>
  <si>
    <t>RohmBernhard-2787899</t>
  </si>
  <si>
    <t>https://pixabay.com/photos/dungeon-castle-fortress-ruin-2787899/</t>
  </si>
  <si>
    <t>5568 x 3712</t>
  </si>
  <si>
    <t>RohmBernhard-2787899.jpg</t>
  </si>
  <si>
    <t>5.2 MB</t>
  </si>
  <si>
    <t>dungeon, castle, fortress, ruin, middle ages, old castle</t>
  </si>
  <si>
    <t>https://pixabay.com/get/gf0e07c7b3d18dd175c22424d4da9f9355db8d0a1fe7250ad2980b3db2969012d0ea001c9a801f6584453f9912bf148699a239fc7fcd54a0d873cbdfb77ff98f5_1280.jpg</t>
  </si>
  <si>
    <t>A024-dungeon-heist.jpg</t>
  </si>
  <si>
    <t>A025</t>
  </si>
  <si>
    <t>Hans-4020</t>
  </si>
  <si>
    <t>https://pixabay.com/photos/glen-canyon-bridge-glen-canyon-4020/</t>
  </si>
  <si>
    <t>3264 x 2448</t>
  </si>
  <si>
    <t>Hans-4020.jpg</t>
  </si>
  <si>
    <t>1.7 MB</t>
  </si>
  <si>
    <t>glen canyon bridge, glen canyon, us highway 89, colorado river, page, arizona, usa, bridge, steel construction</t>
  </si>
  <si>
    <t>https://pixabay.com/get/g642a2b4f67841ecdb5725f8438df1286244e05bbe69f9542163e4a4e45f329a938e21f0ef26cbec99e6a1d00fb96c5db_1280.jpg</t>
  </si>
  <si>
    <t>A025-titan-bridge.jpg</t>
  </si>
  <si>
    <t>A026</t>
  </si>
  <si>
    <t>TheDigitalArtist-3253708</t>
  </si>
  <si>
    <t>https://pixabay.com/photos/motorcycle-racer-racing-race-speed-3253708/</t>
  </si>
  <si>
    <t>3520 x 2338</t>
  </si>
  <si>
    <t>1760:1169</t>
  </si>
  <si>
    <t>TheDigitalArtist-3253708.jpg</t>
  </si>
  <si>
    <t>motorcycle racer, racing, race, speed, bike</t>
  </si>
  <si>
    <t>https://pixabay.com/get/g72ec0648304d8678628b34e7dea6ca422106376f76b8962d6dc436c7f03ca16d120b34847e9543916aaecd8ffd85032a346ded46b0bb0ee73418aee7e324f92e_1280.jpg</t>
  </si>
  <si>
    <t>A026-rift-riders.jpg</t>
  </si>
  <si>
    <t>A027</t>
  </si>
  <si>
    <t>Luminas_Art-8162449</t>
  </si>
  <si>
    <t>https://pixabay.com/photos/waterfall-night-sky-jungle-summer-8162449/</t>
  </si>
  <si>
    <t>4128 x 2467</t>
  </si>
  <si>
    <t>4128:2467</t>
  </si>
  <si>
    <t>Luminas_Art-8162449.jpg</t>
  </si>
  <si>
    <t>waterfall, night sky, jungle, summer, summer night, mystical, avatar, enchanted forest, fairytale forest, magical, magic, nature, fantasy, background</t>
  </si>
  <si>
    <t>https://pixabay.com/get/g8ba43ef7358ca25fa4c4028adba72dc06f45d0943739bd0e5797cda72656b25b3c646087c3ce547a5f86ed21997c68f74462b7ec78be06110f8fa2332358f4bd_1280.jpg</t>
  </si>
  <si>
    <t>A027-moonlight-marsh.jpg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</si>
</sst>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Table" displayName="AssetTable" ref="A1:T28">
  <autoFilter ref="A1:T28" xr:uid="{00000000-0009-0000-0100-000001000000}"/>
  <tableColumns count="20">
    <tableColumn id="1" xr3:uid="{00000000-0010-0000-0000-000001000000}" name="Asset ID"/>
    <tableColumn id="2" xr3:uid="{00000000-0010-0000-0000-000002000000}" name="Asset Name"/>
    <tableColumn id="3" xr3:uid="{00000000-0010-0000-0000-000003000000}" name="Asset Type"/>
    <tableColumn id="4" xr3:uid="{00000000-0010-0000-0000-000004000000}" name="Platform"/>
    <tableColumn id="5" xr3:uid="{00000000-0010-0000-0000-000005000000}" name="Source URL"/>
    <tableColumn id="6" xr3:uid="{00000000-0010-0000-0000-000006000000}" name="Licence"/>
    <tableColumn id="7" xr3:uid="{00000000-0010-0000-0000-000007000000}" name="Author"/>
    <tableColumn id="8" xr3:uid="{00000000-0010-0000-0000-000008000000}" name="Original Format"/>
    <tableColumn id="9" xr3:uid="{00000000-0010-0000-0000-000009000000}" name="Dimensions"/>
    <tableColumn id="10" xr3:uid="{00000000-0010-0000-0000-00000A000000}" name="Aspect Ratio"/>
    <tableColumn id="11" xr3:uid="{00000000-0010-0000-0000-00000B000000}" name="File Name"/>
    <tableColumn id="12" xr3:uid="{00000000-0010-0000-0000-00000C000000}" name="File Format"/>
    <tableColumn id="13" xr3:uid="{00000000-0010-0000-0000-00000D000000}" name="File Size"/>
    <tableColumn id="14" xr3:uid="{00000000-0010-0000-0000-00000E000000}" name="Alt Text"/>
    <tableColumn id="15" xr3:uid="{00000000-0010-0000-0000-00000F000000}" name="Date Published"/>
    <tableColumn id="16" xr3:uid="{00000000-0010-0000-0000-000010000000}" name="Date Accessed"/>
    <tableColumn id="17" xr3:uid="{00000000-0010-0000-0000-000011000000}" name="Notes / Optimisation"/>
    <tableColumn id="18" xr3:uid="{00000000-0010-0000-0000-000012000000}" name="Direct Image URL"/>
    <tableColumn id="19" xr3:uid="{00000000-0010-0000-0000-000013000000}" name="Platform ID"/>
    <tableColumn id="20" xr3:uid="{00000000-0010-0000-0000-000014000000}" name="Local Imag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splash.com/photos/brown-concrete-ruins-during-daytime-GSCtoEEqntQ" TargetMode="External"/><Relationship Id="rId13" Type="http://schemas.openxmlformats.org/officeDocument/2006/relationships/hyperlink" Target="https://pixabay.com/photos/temple-overgrown-old-building-7459835/" TargetMode="External"/><Relationship Id="rId18" Type="http://schemas.openxmlformats.org/officeDocument/2006/relationships/hyperlink" Target="https://pixabay.com/illustrations/ai-generated-virtual-reality-8055453/" TargetMode="External"/><Relationship Id="rId26" Type="http://schemas.openxmlformats.org/officeDocument/2006/relationships/hyperlink" Target="https://pixabay.com/photos/motorcycle-racer-racing-race-speed-3253708/" TargetMode="External"/><Relationship Id="rId3" Type="http://schemas.openxmlformats.org/officeDocument/2006/relationships/hyperlink" Target="https://pixabay.com/illustrations/fortress-castle-fantasy-fairy-tale-7846679/" TargetMode="External"/><Relationship Id="rId21" Type="http://schemas.openxmlformats.org/officeDocument/2006/relationships/hyperlink" Target="https://pixabay.com/illustrations/ai-generated-chapel-medieval-8813871/" TargetMode="External"/><Relationship Id="rId7" Type="http://schemas.openxmlformats.org/officeDocument/2006/relationships/hyperlink" Target="https://unsplash.com/photos/people-sitting-on-stadium-seats-cySFWKt56TU" TargetMode="External"/><Relationship Id="rId12" Type="http://schemas.openxmlformats.org/officeDocument/2006/relationships/hyperlink" Target="https://pixabay.com/photos/conwy-castle-wales-medieval-72273/" TargetMode="External"/><Relationship Id="rId17" Type="http://schemas.openxmlformats.org/officeDocument/2006/relationships/hyperlink" Target="https://www.pexels.com/photo/majestic-castle-surrounded-by-forest-and-water-31897278/" TargetMode="External"/><Relationship Id="rId25" Type="http://schemas.openxmlformats.org/officeDocument/2006/relationships/hyperlink" Target="https://pixabay.com/photos/glen-canyon-bridge-glen-canyon-4020/" TargetMode="External"/><Relationship Id="rId2" Type="http://schemas.openxmlformats.org/officeDocument/2006/relationships/hyperlink" Target="https://www.pexels.com/photo/car-on-road-with-light-streaks-9545744/" TargetMode="External"/><Relationship Id="rId16" Type="http://schemas.openxmlformats.org/officeDocument/2006/relationships/hyperlink" Target="https://pixabay.com/illustrations/spacecraft-space-planet-spaceship-441708/" TargetMode="External"/><Relationship Id="rId20" Type="http://schemas.openxmlformats.org/officeDocument/2006/relationships/hyperlink" Target="https://pixabay.com/illustrations/ai-generated-technology-future-8299635/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pixabay.com/illustrations/alien-planet-asteroid-landscape-7779238/" TargetMode="External"/><Relationship Id="rId6" Type="http://schemas.openxmlformats.org/officeDocument/2006/relationships/hyperlink" Target="https://www.pexels.com/photo/person-in-spacesuit-7660829/" TargetMode="External"/><Relationship Id="rId11" Type="http://schemas.openxmlformats.org/officeDocument/2006/relationships/hyperlink" Target="https://pixabay.com/illustrations/cave-crystal-purple-magic-amethyst-8722489/" TargetMode="External"/><Relationship Id="rId24" Type="http://schemas.openxmlformats.org/officeDocument/2006/relationships/hyperlink" Target="https://pixabay.com/photos/dungeon-castle-fortress-ruin-2787899/" TargetMode="External"/><Relationship Id="rId5" Type="http://schemas.openxmlformats.org/officeDocument/2006/relationships/hyperlink" Target="https://pixabay.com/photos/virtual-reality-vr-video-game-7019022/" TargetMode="External"/><Relationship Id="rId15" Type="http://schemas.openxmlformats.org/officeDocument/2006/relationships/hyperlink" Target="https://www.pexels.com/photo/bare-tree-near-brown-wooden-house-12266872/" TargetMode="External"/><Relationship Id="rId23" Type="http://schemas.openxmlformats.org/officeDocument/2006/relationships/hyperlink" Target="https://pixabay.com/photos/alien-planet-exploration-9307948/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pixabay.com/illustrations/metaverse-technology-meta-virtual-8829753/" TargetMode="External"/><Relationship Id="rId19" Type="http://schemas.openxmlformats.org/officeDocument/2006/relationships/hyperlink" Target="https://pixabay.com/illustrations/ai-generated-castle-gothic-vintage-9452413/" TargetMode="External"/><Relationship Id="rId4" Type="http://schemas.openxmlformats.org/officeDocument/2006/relationships/hyperlink" Target="https://pixabay.com/photos/fantasy-castle-cloud-sky-tower-782001/" TargetMode="External"/><Relationship Id="rId9" Type="http://schemas.openxmlformats.org/officeDocument/2006/relationships/hyperlink" Target="https://unsplash.com/photos/a-person-in-a-mask-behind-a-chain-link-fence-XWB920TRHG8" TargetMode="External"/><Relationship Id="rId14" Type="http://schemas.openxmlformats.org/officeDocument/2006/relationships/hyperlink" Target="https://pixabay.com/illustrations/ai-generated-spaceship-spacecraft-8537970/" TargetMode="External"/><Relationship Id="rId22" Type="http://schemas.openxmlformats.org/officeDocument/2006/relationships/hyperlink" Target="https://pixabay.com/illustrations/race-car-speed-action-competition-8510076/" TargetMode="External"/><Relationship Id="rId27" Type="http://schemas.openxmlformats.org/officeDocument/2006/relationships/hyperlink" Target="https://pixabay.com/photos/waterfall-night-sky-jungle-summer-8162449/" TargetMode="Externa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zoomScaleNormal="100" workbookViewId="0">
      <pane xSplit="1" ySplit="1" topLeftCell="B21" activePane="bottomRight" state="frozen"/>
      <selection pane="topRight"/>
      <selection pane="bottomLeft"/>
      <selection pane="bottomRight" activeCell="E29" sqref="E29"/>
    </sheetView>
  </sheetViews>
  <sheetFormatPr defaultRowHeight="15" x14ac:dyDescent="0.25"/>
  <cols>
    <col min="1" max="1" width="8.42578125" customWidth="1"/>
    <col min="2" max="2" width="25" customWidth="1"/>
    <col min="3" max="3" width="14.5703125" customWidth="1"/>
    <col min="4" max="4" width="15" customWidth="1"/>
    <col min="5" max="5" width="45" customWidth="1"/>
    <col min="6" max="6" width="25" customWidth="1"/>
    <col min="7" max="7" width="30" customWidth="1"/>
    <col min="8" max="8" width="15" customWidth="1"/>
    <col min="9" max="9" width="20" customWidth="1"/>
    <col min="10" max="10" width="15" customWidth="1"/>
    <col min="11" max="11" width="25" customWidth="1"/>
    <col min="12" max="12" width="15" customWidth="1"/>
    <col min="13" max="13" width="12" customWidth="1"/>
    <col min="14" max="14" width="45" customWidth="1"/>
    <col min="15" max="15" width="18" customWidth="1"/>
    <col min="16" max="16" width="15" customWidth="1"/>
    <col min="17" max="18" width="45" customWidth="1"/>
    <col min="19" max="19" width="18" customWidth="1"/>
    <col min="20" max="20" width="30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60" x14ac:dyDescent="0.25">
      <c r="A2" t="s">
        <v>20</v>
      </c>
      <c r="B2" s="3" t="s">
        <v>21</v>
      </c>
      <c r="C2" s="3" t="s">
        <v>22</v>
      </c>
      <c r="D2" s="3" t="s">
        <v>23</v>
      </c>
      <c r="E2" s="4" t="s">
        <v>24</v>
      </c>
      <c r="F2" s="3" t="str">
        <f>HYPERLINK("https://pixabay.com/service/license-summary/","Pixabay License")</f>
        <v>Pixabay License</v>
      </c>
      <c r="G2" s="3" t="str">
        <f>HYPERLINK("https://pixabay.com/users/25040169/","iamrichahasija (25040169)")</f>
        <v>iamrichahasija (25040169)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25</v>
      </c>
      <c r="M2" t="s">
        <v>29</v>
      </c>
      <c r="N2" s="3" t="s">
        <v>30</v>
      </c>
      <c r="O2" s="3" t="s">
        <v>31</v>
      </c>
      <c r="P2" s="3" t="s">
        <v>32</v>
      </c>
      <c r="Q2" s="3" t="s">
        <v>31</v>
      </c>
      <c r="R2" s="3" t="s">
        <v>33</v>
      </c>
      <c r="S2" s="3">
        <v>7019022</v>
      </c>
      <c r="T2" s="3" t="s">
        <v>34</v>
      </c>
    </row>
    <row r="3" spans="1:20" ht="60" x14ac:dyDescent="0.25">
      <c r="A3" t="s">
        <v>35</v>
      </c>
      <c r="B3" s="3" t="s">
        <v>36</v>
      </c>
      <c r="C3" s="3" t="s">
        <v>37</v>
      </c>
      <c r="D3" s="3" t="s">
        <v>23</v>
      </c>
      <c r="E3" s="4" t="s">
        <v>38</v>
      </c>
      <c r="F3" s="3" t="str">
        <f>HYPERLINK("https://pixabay.com/service/license-summary/","Pixabay License")</f>
        <v>Pixabay License</v>
      </c>
      <c r="G3" s="3" t="str">
        <f>HYPERLINK("https://pixabay.com/users/25472871/","ThankYouFantasyPictures (25472871)")</f>
        <v>ThankYouFantasyPictures (25472871)</v>
      </c>
      <c r="H3" s="3" t="s">
        <v>25</v>
      </c>
      <c r="I3" s="3" t="s">
        <v>39</v>
      </c>
      <c r="J3" s="3" t="s">
        <v>40</v>
      </c>
      <c r="K3" s="3" t="s">
        <v>41</v>
      </c>
      <c r="L3" s="3" t="s">
        <v>25</v>
      </c>
      <c r="M3" t="s">
        <v>42</v>
      </c>
      <c r="N3" s="3" t="s">
        <v>43</v>
      </c>
      <c r="O3" s="3" t="s">
        <v>31</v>
      </c>
      <c r="P3" s="3" t="s">
        <v>32</v>
      </c>
      <c r="Q3" s="3" t="s">
        <v>31</v>
      </c>
      <c r="R3" s="3" t="s">
        <v>44</v>
      </c>
      <c r="S3" s="3">
        <v>7779238</v>
      </c>
      <c r="T3" s="3" t="s">
        <v>45</v>
      </c>
    </row>
    <row r="4" spans="1:20" ht="30" x14ac:dyDescent="0.25">
      <c r="A4" t="s">
        <v>46</v>
      </c>
      <c r="B4" s="3" t="s">
        <v>47</v>
      </c>
      <c r="C4" s="3" t="s">
        <v>22</v>
      </c>
      <c r="D4" s="3" t="s">
        <v>48</v>
      </c>
      <c r="E4" s="4" t="s">
        <v>49</v>
      </c>
      <c r="F4" s="3" t="str">
        <f>HYPERLINK("https://www.pexels.com/license/","Pexels License")</f>
        <v>Pexels License</v>
      </c>
      <c r="G4" s="3" t="str">
        <f>HYPERLINK("https://www.pexels.com/@leif-bergerson-99376750","Leif Bergerson")</f>
        <v>Leif Bergerson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50</v>
      </c>
      <c r="M4" t="s">
        <v>31</v>
      </c>
      <c r="N4" s="3" t="s">
        <v>54</v>
      </c>
      <c r="O4" s="3" t="s">
        <v>31</v>
      </c>
      <c r="P4" s="3" t="s">
        <v>32</v>
      </c>
      <c r="Q4" s="3" t="s">
        <v>31</v>
      </c>
      <c r="R4" s="3" t="s">
        <v>55</v>
      </c>
      <c r="S4" s="3">
        <v>9545744</v>
      </c>
      <c r="T4" s="3" t="s">
        <v>56</v>
      </c>
    </row>
    <row r="5" spans="1:20" ht="60" x14ac:dyDescent="0.25">
      <c r="A5" t="s">
        <v>57</v>
      </c>
      <c r="B5" s="3" t="s">
        <v>58</v>
      </c>
      <c r="C5" s="3" t="s">
        <v>37</v>
      </c>
      <c r="D5" s="3" t="s">
        <v>23</v>
      </c>
      <c r="E5" s="4" t="s">
        <v>59</v>
      </c>
      <c r="F5" s="3" t="str">
        <f>HYPERLINK("https://pixabay.com/service/license-summary/","Pixabay License")</f>
        <v>Pixabay License</v>
      </c>
      <c r="G5" s="3" t="str">
        <f>HYPERLINK("https://pixabay.com/users/3921568/","JuliusH (3921568)")</f>
        <v>JuliusH (3921568)</v>
      </c>
      <c r="H5" s="3" t="s">
        <v>25</v>
      </c>
      <c r="I5" s="3" t="s">
        <v>60</v>
      </c>
      <c r="J5" s="3" t="s">
        <v>61</v>
      </c>
      <c r="K5" s="3" t="s">
        <v>62</v>
      </c>
      <c r="L5" s="3" t="s">
        <v>25</v>
      </c>
      <c r="M5" t="s">
        <v>63</v>
      </c>
      <c r="N5" s="3" t="s">
        <v>64</v>
      </c>
      <c r="O5" s="3" t="s">
        <v>31</v>
      </c>
      <c r="P5" s="3" t="s">
        <v>32</v>
      </c>
      <c r="Q5" s="3" t="s">
        <v>31</v>
      </c>
      <c r="R5" s="3" t="s">
        <v>65</v>
      </c>
      <c r="S5" s="3">
        <v>7846679</v>
      </c>
      <c r="T5" s="3" t="s">
        <v>66</v>
      </c>
    </row>
    <row r="6" spans="1:20" ht="60" x14ac:dyDescent="0.25">
      <c r="A6" t="s">
        <v>67</v>
      </c>
      <c r="B6" s="3" t="s">
        <v>68</v>
      </c>
      <c r="C6" s="3" t="s">
        <v>22</v>
      </c>
      <c r="D6" s="3" t="s">
        <v>23</v>
      </c>
      <c r="E6" s="4" t="s">
        <v>69</v>
      </c>
      <c r="F6" s="3" t="str">
        <f>HYPERLINK("https://pixabay.com/service/license-summary/","Pixabay License")</f>
        <v>Pixabay License</v>
      </c>
      <c r="G6" s="3" t="str">
        <f>HYPERLINK("https://pixabay.com/users/271284/","Dlee (271284)")</f>
        <v>Dlee (271284)</v>
      </c>
      <c r="H6" s="3" t="s">
        <v>25</v>
      </c>
      <c r="I6" s="3" t="s">
        <v>70</v>
      </c>
      <c r="J6" s="3" t="s">
        <v>71</v>
      </c>
      <c r="K6" s="3" t="s">
        <v>72</v>
      </c>
      <c r="L6" s="3" t="s">
        <v>25</v>
      </c>
      <c r="M6" t="s">
        <v>73</v>
      </c>
      <c r="N6" s="3" t="s">
        <v>74</v>
      </c>
      <c r="O6" s="3" t="s">
        <v>31</v>
      </c>
      <c r="P6" s="3" t="s">
        <v>32</v>
      </c>
      <c r="Q6" s="3" t="s">
        <v>31</v>
      </c>
      <c r="R6" s="3" t="s">
        <v>75</v>
      </c>
      <c r="S6" s="3">
        <v>782001</v>
      </c>
      <c r="T6" s="3" t="s">
        <v>76</v>
      </c>
    </row>
    <row r="7" spans="1:20" ht="45" x14ac:dyDescent="0.25">
      <c r="A7" t="s">
        <v>77</v>
      </c>
      <c r="B7" s="3" t="s">
        <v>78</v>
      </c>
      <c r="C7" s="3" t="s">
        <v>22</v>
      </c>
      <c r="D7" s="3" t="s">
        <v>48</v>
      </c>
      <c r="E7" s="4" t="s">
        <v>79</v>
      </c>
      <c r="F7" s="3" t="str">
        <f>HYPERLINK("https://www.pexels.com/license/","Pexels License")</f>
        <v>Pexels License</v>
      </c>
      <c r="G7" s="3" t="str">
        <f>HYPERLINK("https://www.pexels.com/@mikhail-nilov","Mikhail Nilov")</f>
        <v>Mikhail Nilov</v>
      </c>
      <c r="H7" s="3" t="s">
        <v>50</v>
      </c>
      <c r="I7" s="3" t="s">
        <v>80</v>
      </c>
      <c r="J7" s="3" t="s">
        <v>52</v>
      </c>
      <c r="K7" s="3" t="s">
        <v>81</v>
      </c>
      <c r="L7" s="3" t="s">
        <v>50</v>
      </c>
      <c r="M7" t="s">
        <v>31</v>
      </c>
      <c r="N7" s="3" t="s">
        <v>82</v>
      </c>
      <c r="O7" s="3" t="s">
        <v>31</v>
      </c>
      <c r="P7" s="3" t="s">
        <v>32</v>
      </c>
      <c r="Q7" s="3" t="s">
        <v>31</v>
      </c>
      <c r="R7" s="3" t="s">
        <v>83</v>
      </c>
      <c r="S7" s="3">
        <v>7660829</v>
      </c>
      <c r="T7" s="3" t="s">
        <v>84</v>
      </c>
    </row>
    <row r="8" spans="1:20" ht="75" x14ac:dyDescent="0.25">
      <c r="A8" t="s">
        <v>85</v>
      </c>
      <c r="B8" s="3" t="s">
        <v>86</v>
      </c>
      <c r="C8" s="3" t="s">
        <v>22</v>
      </c>
      <c r="D8" s="3" t="s">
        <v>87</v>
      </c>
      <c r="E8" s="4" t="s">
        <v>88</v>
      </c>
      <c r="F8" s="3" t="str">
        <f>HYPERLINK("https://unsplash.com/license","Unsplash License")</f>
        <v>Unsplash License</v>
      </c>
      <c r="G8" s="3" t="str">
        <f>HYPERLINK("https://unsplash.com/@klim11","Klim Musalimov")</f>
        <v>Klim Musalimov</v>
      </c>
      <c r="H8" s="3" t="s">
        <v>25</v>
      </c>
      <c r="I8" s="3" t="s">
        <v>89</v>
      </c>
      <c r="J8" s="3" t="s">
        <v>90</v>
      </c>
      <c r="K8" s="3" t="s">
        <v>91</v>
      </c>
      <c r="L8" s="3" t="s">
        <v>25</v>
      </c>
      <c r="M8" t="s">
        <v>31</v>
      </c>
      <c r="N8" s="3" t="s">
        <v>92</v>
      </c>
      <c r="O8" s="3" t="s">
        <v>93</v>
      </c>
      <c r="P8" s="3" t="s">
        <v>32</v>
      </c>
      <c r="Q8" s="3" t="s">
        <v>31</v>
      </c>
      <c r="R8" s="3" t="s">
        <v>94</v>
      </c>
      <c r="S8" s="3" t="s">
        <v>95</v>
      </c>
      <c r="T8" s="3" t="s">
        <v>96</v>
      </c>
    </row>
    <row r="9" spans="1:20" ht="75" x14ac:dyDescent="0.25">
      <c r="A9" t="s">
        <v>97</v>
      </c>
      <c r="B9" s="3" t="s">
        <v>98</v>
      </c>
      <c r="C9" s="3" t="s">
        <v>22</v>
      </c>
      <c r="D9" s="3" t="s">
        <v>87</v>
      </c>
      <c r="E9" s="4" t="s">
        <v>99</v>
      </c>
      <c r="F9" s="3" t="str">
        <f>HYPERLINK("https://unsplash.com/license","Unsplash License")</f>
        <v>Unsplash License</v>
      </c>
      <c r="G9" s="3" t="str">
        <f>HYPERLINK("https://unsplash.com/@raphhowald","Raph Howald")</f>
        <v>Raph Howald</v>
      </c>
      <c r="H9" s="3" t="s">
        <v>25</v>
      </c>
      <c r="I9" s="3" t="s">
        <v>100</v>
      </c>
      <c r="J9" s="3" t="s">
        <v>52</v>
      </c>
      <c r="K9" s="3" t="s">
        <v>101</v>
      </c>
      <c r="L9" s="3" t="s">
        <v>25</v>
      </c>
      <c r="M9" t="s">
        <v>31</v>
      </c>
      <c r="N9" s="3" t="s">
        <v>102</v>
      </c>
      <c r="O9" s="3" t="s">
        <v>103</v>
      </c>
      <c r="P9" s="3" t="s">
        <v>32</v>
      </c>
      <c r="Q9" s="3" t="s">
        <v>31</v>
      </c>
      <c r="R9" s="3" t="s">
        <v>104</v>
      </c>
      <c r="S9" s="3" t="s">
        <v>105</v>
      </c>
      <c r="T9" s="3" t="s">
        <v>106</v>
      </c>
    </row>
    <row r="10" spans="1:20" ht="75" x14ac:dyDescent="0.25">
      <c r="A10" t="s">
        <v>107</v>
      </c>
      <c r="B10" s="3" t="s">
        <v>108</v>
      </c>
      <c r="C10" s="3" t="s">
        <v>22</v>
      </c>
      <c r="D10" s="3" t="s">
        <v>87</v>
      </c>
      <c r="E10" s="4" t="s">
        <v>109</v>
      </c>
      <c r="F10" s="3" t="str">
        <f>HYPERLINK("https://unsplash.com/license","Unsplash License")</f>
        <v>Unsplash License</v>
      </c>
      <c r="G10" s="3" t="str">
        <f>HYPERLINK("https://unsplash.com/@novantino","Rendy Novantino")</f>
        <v>Rendy Novantino</v>
      </c>
      <c r="H10" s="3" t="s">
        <v>25</v>
      </c>
      <c r="I10" s="3" t="s">
        <v>110</v>
      </c>
      <c r="J10" s="3" t="s">
        <v>52</v>
      </c>
      <c r="K10" s="3" t="s">
        <v>111</v>
      </c>
      <c r="L10" s="3" t="s">
        <v>25</v>
      </c>
      <c r="M10" t="s">
        <v>31</v>
      </c>
      <c r="N10" s="3" t="s">
        <v>112</v>
      </c>
      <c r="O10" s="3" t="s">
        <v>113</v>
      </c>
      <c r="P10" s="3" t="s">
        <v>32</v>
      </c>
      <c r="Q10" s="3" t="s">
        <v>31</v>
      </c>
      <c r="R10" s="3" t="s">
        <v>114</v>
      </c>
      <c r="S10" s="3" t="s">
        <v>115</v>
      </c>
      <c r="T10" s="3" t="s">
        <v>116</v>
      </c>
    </row>
    <row r="11" spans="1:20" ht="60" x14ac:dyDescent="0.25">
      <c r="A11" t="s">
        <v>117</v>
      </c>
      <c r="B11" s="3" t="s">
        <v>118</v>
      </c>
      <c r="C11" s="3" t="s">
        <v>37</v>
      </c>
      <c r="D11" s="3" t="s">
        <v>23</v>
      </c>
      <c r="E11" s="4" t="s">
        <v>119</v>
      </c>
      <c r="F11" s="3" t="str">
        <f>HYPERLINK("https://pixabay.com/service/license-summary/","Pixabay License")</f>
        <v>Pixabay License</v>
      </c>
      <c r="G11" s="3" t="str">
        <f>HYPERLINK("https://pixabay.com/users/44388312/","steveganger (44388312)")</f>
        <v>steveganger (44388312)</v>
      </c>
      <c r="H11" s="3" t="s">
        <v>25</v>
      </c>
      <c r="I11" s="3" t="s">
        <v>120</v>
      </c>
      <c r="J11" s="3" t="s">
        <v>52</v>
      </c>
      <c r="K11" s="3" t="s">
        <v>121</v>
      </c>
      <c r="L11" s="3" t="s">
        <v>25</v>
      </c>
      <c r="M11" t="s">
        <v>122</v>
      </c>
      <c r="N11" s="3" t="s">
        <v>123</v>
      </c>
      <c r="O11" s="3" t="s">
        <v>31</v>
      </c>
      <c r="P11" s="3" t="s">
        <v>32</v>
      </c>
      <c r="Q11" s="3" t="s">
        <v>31</v>
      </c>
      <c r="R11" s="3" t="s">
        <v>124</v>
      </c>
      <c r="S11" s="3">
        <v>8829753</v>
      </c>
      <c r="T11" s="3" t="s">
        <v>125</v>
      </c>
    </row>
    <row r="12" spans="1:20" ht="75" x14ac:dyDescent="0.25">
      <c r="A12" t="s">
        <v>126</v>
      </c>
      <c r="B12" s="3" t="s">
        <v>127</v>
      </c>
      <c r="C12" s="3" t="s">
        <v>37</v>
      </c>
      <c r="D12" s="3" t="s">
        <v>23</v>
      </c>
      <c r="E12" s="4" t="s">
        <v>128</v>
      </c>
      <c r="F12" s="3" t="str">
        <f>HYPERLINK("https://pixabay.com/service/license-summary/","Pixabay License")</f>
        <v>Pixabay License</v>
      </c>
      <c r="G12" s="3" t="str">
        <f>HYPERLINK("https://pixabay.com/users/39757915/","MeditativeKaleidoscope (39757915)")</f>
        <v>MeditativeKaleidoscope (39757915)</v>
      </c>
      <c r="H12" s="3" t="s">
        <v>129</v>
      </c>
      <c r="I12" s="3" t="s">
        <v>130</v>
      </c>
      <c r="J12" s="3" t="s">
        <v>131</v>
      </c>
      <c r="K12" s="3" t="s">
        <v>132</v>
      </c>
      <c r="L12" s="3" t="s">
        <v>129</v>
      </c>
      <c r="M12" t="s">
        <v>133</v>
      </c>
      <c r="N12" s="3" t="s">
        <v>134</v>
      </c>
      <c r="O12" s="3" t="s">
        <v>31</v>
      </c>
      <c r="P12" s="3" t="s">
        <v>32</v>
      </c>
      <c r="Q12" s="3" t="s">
        <v>31</v>
      </c>
      <c r="R12" s="3" t="s">
        <v>135</v>
      </c>
      <c r="S12" s="3">
        <v>8722489</v>
      </c>
      <c r="T12" s="3" t="s">
        <v>136</v>
      </c>
    </row>
    <row r="13" spans="1:20" ht="60" x14ac:dyDescent="0.25">
      <c r="A13" t="s">
        <v>137</v>
      </c>
      <c r="B13" s="3" t="s">
        <v>138</v>
      </c>
      <c r="C13" s="3" t="s">
        <v>22</v>
      </c>
      <c r="D13" s="3" t="s">
        <v>23</v>
      </c>
      <c r="E13" s="4" t="s">
        <v>139</v>
      </c>
      <c r="F13" s="3" t="str">
        <f>HYPERLINK("https://pixabay.com/service/license-summary/","Pixabay License")</f>
        <v>Pixabay License</v>
      </c>
      <c r="G13" s="3" t="str">
        <f>HYPERLINK("https://pixabay.com/users/14/","PublicDomainPictures (14)")</f>
        <v>PublicDomainPictures (14)</v>
      </c>
      <c r="H13" s="3" t="s">
        <v>25</v>
      </c>
      <c r="I13" s="3" t="s">
        <v>140</v>
      </c>
      <c r="J13" s="3" t="s">
        <v>52</v>
      </c>
      <c r="K13" s="3" t="s">
        <v>141</v>
      </c>
      <c r="L13" s="3" t="s">
        <v>25</v>
      </c>
      <c r="M13" t="s">
        <v>142</v>
      </c>
      <c r="N13" s="3" t="s">
        <v>143</v>
      </c>
      <c r="O13" s="3" t="s">
        <v>31</v>
      </c>
      <c r="P13" s="3" t="s">
        <v>32</v>
      </c>
      <c r="Q13" s="3" t="s">
        <v>31</v>
      </c>
      <c r="R13" s="3" t="s">
        <v>144</v>
      </c>
      <c r="S13" s="3">
        <v>72273</v>
      </c>
      <c r="T13" s="3" t="s">
        <v>145</v>
      </c>
    </row>
    <row r="14" spans="1:20" ht="60" x14ac:dyDescent="0.25">
      <c r="A14" t="s">
        <v>146</v>
      </c>
      <c r="B14" s="3" t="s">
        <v>147</v>
      </c>
      <c r="C14" s="3" t="s">
        <v>22</v>
      </c>
      <c r="D14" s="3" t="s">
        <v>23</v>
      </c>
      <c r="E14" s="4" t="s">
        <v>148</v>
      </c>
      <c r="F14" s="3" t="str">
        <f>HYPERLINK("https://pixabay.com/service/license-summary/","Pixabay License")</f>
        <v>Pixabay License</v>
      </c>
      <c r="G14" s="3" t="str">
        <f>HYPERLINK("https://pixabay.com/users/16705522/","Alan_Frijns (16705522)")</f>
        <v>Alan_Frijns (16705522)</v>
      </c>
      <c r="H14" s="3" t="s">
        <v>25</v>
      </c>
      <c r="I14" s="3" t="s">
        <v>149</v>
      </c>
      <c r="J14" s="3" t="s">
        <v>52</v>
      </c>
      <c r="K14" s="3" t="s">
        <v>150</v>
      </c>
      <c r="L14" s="3" t="s">
        <v>25</v>
      </c>
      <c r="M14" t="s">
        <v>73</v>
      </c>
      <c r="N14" s="3" t="s">
        <v>151</v>
      </c>
      <c r="O14" s="3" t="s">
        <v>31</v>
      </c>
      <c r="P14" s="3" t="s">
        <v>32</v>
      </c>
      <c r="Q14" s="3" t="s">
        <v>31</v>
      </c>
      <c r="R14" s="3" t="s">
        <v>152</v>
      </c>
      <c r="S14" s="3">
        <v>7459835</v>
      </c>
      <c r="T14" s="3" t="s">
        <v>153</v>
      </c>
    </row>
    <row r="15" spans="1:20" ht="60" x14ac:dyDescent="0.25">
      <c r="A15" t="s">
        <v>154</v>
      </c>
      <c r="B15" s="3" t="s">
        <v>155</v>
      </c>
      <c r="C15" s="3" t="s">
        <v>37</v>
      </c>
      <c r="D15" s="3" t="s">
        <v>23</v>
      </c>
      <c r="E15" s="4" t="s">
        <v>156</v>
      </c>
      <c r="F15" s="3" t="str">
        <f>HYPERLINK("https://pixabay.com/service/license-summary/","Pixabay License")</f>
        <v>Pixabay License</v>
      </c>
      <c r="G15" s="3" t="str">
        <f>HYPERLINK("https://pixabay.com/users/3921568/","JuliusH (3921568)")</f>
        <v>JuliusH (3921568)</v>
      </c>
      <c r="H15" s="3" t="s">
        <v>25</v>
      </c>
      <c r="I15" s="3" t="s">
        <v>157</v>
      </c>
      <c r="J15" s="3" t="s">
        <v>158</v>
      </c>
      <c r="K15" s="3" t="s">
        <v>159</v>
      </c>
      <c r="L15" s="3" t="s">
        <v>25</v>
      </c>
      <c r="M15" t="s">
        <v>160</v>
      </c>
      <c r="N15" s="3" t="s">
        <v>161</v>
      </c>
      <c r="O15" s="3" t="s">
        <v>31</v>
      </c>
      <c r="P15" s="3" t="s">
        <v>32</v>
      </c>
      <c r="Q15" s="3" t="s">
        <v>31</v>
      </c>
      <c r="R15" s="3" t="s">
        <v>162</v>
      </c>
      <c r="S15" s="3">
        <v>8537970</v>
      </c>
      <c r="T15" s="3" t="s">
        <v>163</v>
      </c>
    </row>
    <row r="16" spans="1:20" ht="30" x14ac:dyDescent="0.25">
      <c r="A16" t="s">
        <v>164</v>
      </c>
      <c r="B16" s="3" t="s">
        <v>165</v>
      </c>
      <c r="C16" s="3" t="s">
        <v>22</v>
      </c>
      <c r="D16" s="3" t="s">
        <v>48</v>
      </c>
      <c r="E16" s="4" t="s">
        <v>166</v>
      </c>
      <c r="F16" s="3" t="str">
        <f>HYPERLINK("https://www.pexels.com/license/","Pexels License")</f>
        <v>Pexels License</v>
      </c>
      <c r="G16" s="3" t="str">
        <f>HYPERLINK("https://www.pexels.com/@fidan-nazim-qizi-134456769","Fidan Nazim qizi")</f>
        <v>Fidan Nazim qizi</v>
      </c>
      <c r="H16" s="3" t="s">
        <v>50</v>
      </c>
      <c r="I16" s="3" t="s">
        <v>167</v>
      </c>
      <c r="J16" s="3" t="s">
        <v>168</v>
      </c>
      <c r="K16" s="3" t="s">
        <v>169</v>
      </c>
      <c r="L16" s="3" t="s">
        <v>50</v>
      </c>
      <c r="M16" t="s">
        <v>31</v>
      </c>
      <c r="N16" s="3" t="s">
        <v>170</v>
      </c>
      <c r="O16" s="3" t="s">
        <v>31</v>
      </c>
      <c r="P16" s="3" t="s">
        <v>32</v>
      </c>
      <c r="Q16" s="3" t="s">
        <v>31</v>
      </c>
      <c r="R16" s="3" t="s">
        <v>171</v>
      </c>
      <c r="S16" s="3">
        <v>12266872</v>
      </c>
      <c r="T16" s="3" t="s">
        <v>172</v>
      </c>
    </row>
    <row r="17" spans="1:20" ht="60" x14ac:dyDescent="0.25">
      <c r="A17" t="s">
        <v>173</v>
      </c>
      <c r="B17" s="3" t="s">
        <v>174</v>
      </c>
      <c r="C17" s="3" t="s">
        <v>37</v>
      </c>
      <c r="D17" s="3" t="s">
        <v>23</v>
      </c>
      <c r="E17" s="4" t="s">
        <v>175</v>
      </c>
      <c r="F17" s="3" t="str">
        <f>HYPERLINK("https://pixabay.com/service/license-summary/","Pixabay License")</f>
        <v>Pixabay License</v>
      </c>
      <c r="G17" s="3" t="str">
        <f>HYPERLINK("https://pixabay.com/users/249424/","Stevebidmead (249424)")</f>
        <v>Stevebidmead (249424)</v>
      </c>
      <c r="H17" s="3" t="s">
        <v>25</v>
      </c>
      <c r="I17" s="3" t="s">
        <v>176</v>
      </c>
      <c r="J17" s="3" t="s">
        <v>177</v>
      </c>
      <c r="K17" s="3" t="s">
        <v>178</v>
      </c>
      <c r="L17" s="3" t="s">
        <v>25</v>
      </c>
      <c r="M17" t="s">
        <v>179</v>
      </c>
      <c r="N17" s="3" t="s">
        <v>180</v>
      </c>
      <c r="O17" s="3" t="s">
        <v>31</v>
      </c>
      <c r="P17" s="3" t="s">
        <v>32</v>
      </c>
      <c r="Q17" s="3" t="s">
        <v>31</v>
      </c>
      <c r="R17" s="3" t="s">
        <v>181</v>
      </c>
      <c r="S17" s="3">
        <v>441708</v>
      </c>
      <c r="T17" s="3" t="s">
        <v>182</v>
      </c>
    </row>
    <row r="18" spans="1:20" ht="45" x14ac:dyDescent="0.25">
      <c r="A18" t="s">
        <v>183</v>
      </c>
      <c r="B18" s="3" t="s">
        <v>184</v>
      </c>
      <c r="C18" s="3" t="s">
        <v>22</v>
      </c>
      <c r="D18" s="3" t="s">
        <v>48</v>
      </c>
      <c r="E18" s="4" t="s">
        <v>185</v>
      </c>
      <c r="F18" s="3" t="str">
        <f>HYPERLINK("https://www.pexels.com/license/","Pexels License")</f>
        <v>Pexels License</v>
      </c>
      <c r="G18" s="3" t="str">
        <f>HYPERLINK("https://www.pexels.com/@radoslaw-sikorski-36097686","Radoslaw Sikorski")</f>
        <v>Radoslaw Sikorski</v>
      </c>
      <c r="H18" s="3" t="s">
        <v>50</v>
      </c>
      <c r="I18" s="3" t="s">
        <v>186</v>
      </c>
      <c r="J18" s="3" t="s">
        <v>40</v>
      </c>
      <c r="K18" s="3" t="s">
        <v>187</v>
      </c>
      <c r="L18" s="3" t="s">
        <v>50</v>
      </c>
      <c r="M18" t="s">
        <v>31</v>
      </c>
      <c r="N18" s="3" t="s">
        <v>188</v>
      </c>
      <c r="O18" s="3" t="s">
        <v>31</v>
      </c>
      <c r="P18" s="3" t="s">
        <v>32</v>
      </c>
      <c r="Q18" s="3" t="s">
        <v>31</v>
      </c>
      <c r="R18" s="3" t="s">
        <v>189</v>
      </c>
      <c r="S18" s="3">
        <v>31897278</v>
      </c>
      <c r="T18" s="3" t="s">
        <v>190</v>
      </c>
    </row>
    <row r="19" spans="1:20" ht="60" x14ac:dyDescent="0.25">
      <c r="A19" t="s">
        <v>191</v>
      </c>
      <c r="B19" s="3" t="s">
        <v>192</v>
      </c>
      <c r="C19" s="3" t="s">
        <v>37</v>
      </c>
      <c r="D19" s="3" t="s">
        <v>23</v>
      </c>
      <c r="E19" s="4" t="s">
        <v>193</v>
      </c>
      <c r="F19" s="3" t="str">
        <f t="shared" ref="F19:F28" si="0">HYPERLINK("https://pixabay.com/service/license-summary/","Pixabay License")</f>
        <v>Pixabay License</v>
      </c>
      <c r="G19" s="3" t="str">
        <f>HYPERLINK("https://pixabay.com/users/202249/","TheDigitalArtist (202249)")</f>
        <v>TheDigitalArtist (202249)</v>
      </c>
      <c r="H19" s="3" t="s">
        <v>25</v>
      </c>
      <c r="I19" s="3" t="s">
        <v>194</v>
      </c>
      <c r="J19" s="3" t="s">
        <v>195</v>
      </c>
      <c r="K19" s="3" t="s">
        <v>196</v>
      </c>
      <c r="L19" s="3" t="s">
        <v>25</v>
      </c>
      <c r="M19" t="s">
        <v>179</v>
      </c>
      <c r="N19" s="3" t="s">
        <v>197</v>
      </c>
      <c r="O19" s="3" t="s">
        <v>31</v>
      </c>
      <c r="P19" s="3" t="s">
        <v>32</v>
      </c>
      <c r="Q19" s="3" t="s">
        <v>31</v>
      </c>
      <c r="R19" s="3" t="s">
        <v>198</v>
      </c>
      <c r="S19" s="3">
        <v>8055453</v>
      </c>
      <c r="T19" s="3" t="s">
        <v>199</v>
      </c>
    </row>
    <row r="20" spans="1:20" ht="60" x14ac:dyDescent="0.25">
      <c r="A20" t="s">
        <v>200</v>
      </c>
      <c r="B20" s="3" t="s">
        <v>201</v>
      </c>
      <c r="C20" s="3" t="s">
        <v>37</v>
      </c>
      <c r="D20" s="3" t="s">
        <v>23</v>
      </c>
      <c r="E20" s="4" t="s">
        <v>202</v>
      </c>
      <c r="F20" s="3" t="str">
        <f t="shared" si="0"/>
        <v>Pixabay License</v>
      </c>
      <c r="G20" s="3" t="str">
        <f>HYPERLINK("https://pixabay.com/users/49031181/","GrayWayNorth (49031181)")</f>
        <v>GrayWayNorth (49031181)</v>
      </c>
      <c r="H20" s="3" t="s">
        <v>129</v>
      </c>
      <c r="I20" s="3" t="s">
        <v>203</v>
      </c>
      <c r="J20" s="3" t="s">
        <v>61</v>
      </c>
      <c r="K20" s="3" t="s">
        <v>204</v>
      </c>
      <c r="L20" s="3" t="s">
        <v>129</v>
      </c>
      <c r="M20" t="s">
        <v>205</v>
      </c>
      <c r="N20" s="3" t="s">
        <v>206</v>
      </c>
      <c r="O20" s="3" t="s">
        <v>31</v>
      </c>
      <c r="P20" s="3" t="s">
        <v>32</v>
      </c>
      <c r="Q20" s="3" t="s">
        <v>31</v>
      </c>
      <c r="R20" s="3" t="s">
        <v>207</v>
      </c>
      <c r="S20" s="3">
        <v>9452413</v>
      </c>
      <c r="T20" s="3" t="s">
        <v>208</v>
      </c>
    </row>
    <row r="21" spans="1:20" ht="60" x14ac:dyDescent="0.25">
      <c r="A21" t="s">
        <v>209</v>
      </c>
      <c r="B21" s="3" t="s">
        <v>210</v>
      </c>
      <c r="C21" s="3" t="s">
        <v>37</v>
      </c>
      <c r="D21" s="3" t="s">
        <v>23</v>
      </c>
      <c r="E21" s="4" t="s">
        <v>211</v>
      </c>
      <c r="F21" s="3" t="str">
        <f t="shared" si="0"/>
        <v>Pixabay License</v>
      </c>
      <c r="G21" s="3" t="str">
        <f>HYPERLINK("https://pixabay.com/users/202249/","TheDigitalArtist (202249)")</f>
        <v>TheDigitalArtist (202249)</v>
      </c>
      <c r="H21" s="3" t="s">
        <v>25</v>
      </c>
      <c r="I21" s="3" t="s">
        <v>212</v>
      </c>
      <c r="J21" s="3" t="s">
        <v>213</v>
      </c>
      <c r="K21" s="3" t="s">
        <v>214</v>
      </c>
      <c r="L21" s="3" t="s">
        <v>25</v>
      </c>
      <c r="M21" t="s">
        <v>122</v>
      </c>
      <c r="N21" s="3" t="s">
        <v>215</v>
      </c>
      <c r="O21" s="3" t="s">
        <v>31</v>
      </c>
      <c r="P21" s="3" t="s">
        <v>32</v>
      </c>
      <c r="Q21" s="3" t="s">
        <v>31</v>
      </c>
      <c r="R21" s="3" t="s">
        <v>216</v>
      </c>
      <c r="S21" s="3">
        <v>8299635</v>
      </c>
      <c r="T21" s="3" t="s">
        <v>217</v>
      </c>
    </row>
    <row r="22" spans="1:20" ht="75" x14ac:dyDescent="0.25">
      <c r="A22" t="s">
        <v>218</v>
      </c>
      <c r="B22" s="3" t="s">
        <v>219</v>
      </c>
      <c r="C22" s="3" t="s">
        <v>37</v>
      </c>
      <c r="D22" s="3" t="s">
        <v>23</v>
      </c>
      <c r="E22" s="4" t="s">
        <v>220</v>
      </c>
      <c r="F22" s="3" t="str">
        <f t="shared" si="0"/>
        <v>Pixabay License</v>
      </c>
      <c r="G22" s="3" t="str">
        <f>HYPERLINK("https://pixabay.com/users/38952538/","AberrantRealities (38952538)")</f>
        <v>AberrantRealities (38952538)</v>
      </c>
      <c r="H22" s="3" t="s">
        <v>25</v>
      </c>
      <c r="I22" s="3" t="s">
        <v>221</v>
      </c>
      <c r="J22" s="3" t="s">
        <v>52</v>
      </c>
      <c r="K22" s="3" t="s">
        <v>222</v>
      </c>
      <c r="L22" s="3" t="s">
        <v>25</v>
      </c>
      <c r="M22" t="s">
        <v>223</v>
      </c>
      <c r="N22" s="3" t="s">
        <v>224</v>
      </c>
      <c r="O22" s="3" t="s">
        <v>31</v>
      </c>
      <c r="P22" s="3" t="s">
        <v>32</v>
      </c>
      <c r="Q22" s="3" t="s">
        <v>31</v>
      </c>
      <c r="R22" s="3" t="s">
        <v>225</v>
      </c>
      <c r="S22" s="3">
        <v>8813871</v>
      </c>
      <c r="T22" s="3" t="s">
        <v>226</v>
      </c>
    </row>
    <row r="23" spans="1:20" ht="75" x14ac:dyDescent="0.25">
      <c r="A23" t="s">
        <v>227</v>
      </c>
      <c r="B23" s="3" t="s">
        <v>228</v>
      </c>
      <c r="C23" s="3" t="s">
        <v>37</v>
      </c>
      <c r="D23" s="3" t="s">
        <v>23</v>
      </c>
      <c r="E23" s="4" t="s">
        <v>229</v>
      </c>
      <c r="F23" s="3" t="str">
        <f t="shared" si="0"/>
        <v>Pixabay License</v>
      </c>
      <c r="G23" s="3" t="str">
        <f>HYPERLINK("https://pixabay.com/users/38834479/","AMRULQAYS (38834479)")</f>
        <v>AMRULQAYS (38834479)</v>
      </c>
      <c r="H23" s="3" t="s">
        <v>25</v>
      </c>
      <c r="I23" s="3" t="s">
        <v>230</v>
      </c>
      <c r="J23" s="3" t="s">
        <v>231</v>
      </c>
      <c r="K23" s="3" t="s">
        <v>232</v>
      </c>
      <c r="L23" s="3" t="s">
        <v>25</v>
      </c>
      <c r="M23" t="s">
        <v>233</v>
      </c>
      <c r="N23" s="3" t="s">
        <v>234</v>
      </c>
      <c r="O23" s="3" t="s">
        <v>31</v>
      </c>
      <c r="P23" s="3" t="s">
        <v>32</v>
      </c>
      <c r="Q23" s="3" t="s">
        <v>31</v>
      </c>
      <c r="R23" s="3" t="s">
        <v>235</v>
      </c>
      <c r="S23" s="3">
        <v>8510076</v>
      </c>
      <c r="T23" s="3" t="s">
        <v>236</v>
      </c>
    </row>
    <row r="24" spans="1:20" ht="75" x14ac:dyDescent="0.25">
      <c r="A24" t="s">
        <v>237</v>
      </c>
      <c r="B24" s="3" t="s">
        <v>238</v>
      </c>
      <c r="C24" s="3" t="s">
        <v>22</v>
      </c>
      <c r="D24" s="3" t="s">
        <v>23</v>
      </c>
      <c r="E24" s="4" t="s">
        <v>239</v>
      </c>
      <c r="F24" s="3" t="str">
        <f t="shared" si="0"/>
        <v>Pixabay License</v>
      </c>
      <c r="G24" s="3" t="str">
        <f>HYPERLINK("https://pixabay.com/users/43536937/","Thesoundofcalmness (43536937)")</f>
        <v>Thesoundofcalmness (43536937)</v>
      </c>
      <c r="H24" s="3" t="s">
        <v>25</v>
      </c>
      <c r="I24" s="3" t="s">
        <v>240</v>
      </c>
      <c r="J24" s="3" t="s">
        <v>61</v>
      </c>
      <c r="K24" s="3" t="s">
        <v>241</v>
      </c>
      <c r="L24" s="3" t="s">
        <v>25</v>
      </c>
      <c r="M24" t="s">
        <v>242</v>
      </c>
      <c r="N24" s="3" t="s">
        <v>243</v>
      </c>
      <c r="O24" s="3" t="s">
        <v>31</v>
      </c>
      <c r="P24" s="3" t="s">
        <v>32</v>
      </c>
      <c r="Q24" s="3" t="s">
        <v>31</v>
      </c>
      <c r="R24" s="3" t="s">
        <v>244</v>
      </c>
      <c r="S24" s="3">
        <v>9307948</v>
      </c>
      <c r="T24" s="3" t="s">
        <v>245</v>
      </c>
    </row>
    <row r="25" spans="1:20" ht="60" x14ac:dyDescent="0.25">
      <c r="A25" t="s">
        <v>246</v>
      </c>
      <c r="B25" s="3" t="s">
        <v>247</v>
      </c>
      <c r="C25" s="3" t="s">
        <v>22</v>
      </c>
      <c r="D25" s="3" t="s">
        <v>23</v>
      </c>
      <c r="E25" s="4" t="s">
        <v>248</v>
      </c>
      <c r="F25" s="3" t="str">
        <f t="shared" si="0"/>
        <v>Pixabay License</v>
      </c>
      <c r="G25" s="3" t="str">
        <f>HYPERLINK("https://pixabay.com/users/6545802/","RohmBernhard (6545802)")</f>
        <v>RohmBernhard (6545802)</v>
      </c>
      <c r="H25" s="3" t="s">
        <v>25</v>
      </c>
      <c r="I25" s="3" t="s">
        <v>249</v>
      </c>
      <c r="J25" s="3" t="s">
        <v>52</v>
      </c>
      <c r="K25" s="3" t="s">
        <v>250</v>
      </c>
      <c r="L25" s="3" t="s">
        <v>25</v>
      </c>
      <c r="M25" t="s">
        <v>251</v>
      </c>
      <c r="N25" s="3" t="s">
        <v>252</v>
      </c>
      <c r="O25" s="3" t="s">
        <v>31</v>
      </c>
      <c r="P25" s="3" t="s">
        <v>32</v>
      </c>
      <c r="Q25" s="3" t="s">
        <v>31</v>
      </c>
      <c r="R25" s="3" t="s">
        <v>253</v>
      </c>
      <c r="S25" s="3">
        <v>2787899</v>
      </c>
      <c r="T25" s="3" t="s">
        <v>254</v>
      </c>
    </row>
    <row r="26" spans="1:20" ht="45" x14ac:dyDescent="0.25">
      <c r="A26" t="s">
        <v>255</v>
      </c>
      <c r="B26" s="3" t="s">
        <v>256</v>
      </c>
      <c r="C26" s="3" t="s">
        <v>22</v>
      </c>
      <c r="D26" s="3" t="s">
        <v>23</v>
      </c>
      <c r="E26" s="4" t="s">
        <v>257</v>
      </c>
      <c r="F26" s="3" t="str">
        <f t="shared" si="0"/>
        <v>Pixabay License</v>
      </c>
      <c r="G26" s="3" t="str">
        <f>HYPERLINK("https://pixabay.com/users/2/","Hans (2)")</f>
        <v>Hans (2)</v>
      </c>
      <c r="H26" s="3" t="s">
        <v>25</v>
      </c>
      <c r="I26" s="3" t="s">
        <v>258</v>
      </c>
      <c r="J26" s="3" t="s">
        <v>177</v>
      </c>
      <c r="K26" s="3" t="s">
        <v>259</v>
      </c>
      <c r="L26" s="3" t="s">
        <v>25</v>
      </c>
      <c r="M26" t="s">
        <v>260</v>
      </c>
      <c r="N26" s="3" t="s">
        <v>261</v>
      </c>
      <c r="O26" s="3" t="s">
        <v>31</v>
      </c>
      <c r="P26" s="3" t="s">
        <v>32</v>
      </c>
      <c r="Q26" s="3" t="s">
        <v>31</v>
      </c>
      <c r="R26" s="3" t="s">
        <v>262</v>
      </c>
      <c r="S26" s="3">
        <v>4020</v>
      </c>
      <c r="T26" s="3" t="s">
        <v>263</v>
      </c>
    </row>
    <row r="27" spans="1:20" ht="60" x14ac:dyDescent="0.25">
      <c r="A27" t="s">
        <v>264</v>
      </c>
      <c r="B27" s="3" t="s">
        <v>265</v>
      </c>
      <c r="C27" s="3" t="s">
        <v>22</v>
      </c>
      <c r="D27" s="3" t="s">
        <v>23</v>
      </c>
      <c r="E27" s="4" t="s">
        <v>266</v>
      </c>
      <c r="F27" s="3" t="str">
        <f t="shared" si="0"/>
        <v>Pixabay License</v>
      </c>
      <c r="G27" s="3" t="str">
        <f>HYPERLINK("https://pixabay.com/users/202249/","TheDigitalArtist (202249)")</f>
        <v>TheDigitalArtist (202249)</v>
      </c>
      <c r="H27" s="3" t="s">
        <v>25</v>
      </c>
      <c r="I27" s="3" t="s">
        <v>267</v>
      </c>
      <c r="J27" s="3" t="s">
        <v>268</v>
      </c>
      <c r="K27" s="3" t="s">
        <v>269</v>
      </c>
      <c r="L27" s="3" t="s">
        <v>25</v>
      </c>
      <c r="M27" t="s">
        <v>242</v>
      </c>
      <c r="N27" s="3" t="s">
        <v>270</v>
      </c>
      <c r="O27" s="3" t="s">
        <v>31</v>
      </c>
      <c r="P27" s="3" t="s">
        <v>32</v>
      </c>
      <c r="Q27" s="3" t="s">
        <v>31</v>
      </c>
      <c r="R27" s="3" t="s">
        <v>271</v>
      </c>
      <c r="S27" s="3">
        <v>3253708</v>
      </c>
      <c r="T27" s="3" t="s">
        <v>272</v>
      </c>
    </row>
    <row r="28" spans="1:20" ht="60" x14ac:dyDescent="0.25">
      <c r="A28" t="s">
        <v>273</v>
      </c>
      <c r="B28" s="3" t="s">
        <v>274</v>
      </c>
      <c r="C28" s="3" t="s">
        <v>22</v>
      </c>
      <c r="D28" s="3" t="s">
        <v>23</v>
      </c>
      <c r="E28" s="4" t="s">
        <v>275</v>
      </c>
      <c r="F28" s="3" t="str">
        <f t="shared" si="0"/>
        <v>Pixabay License</v>
      </c>
      <c r="G28" s="3" t="str">
        <f>HYPERLINK("https://pixabay.com/users/4128746/","Luminas_Art (4128746)")</f>
        <v>Luminas_Art (4128746)</v>
      </c>
      <c r="H28" s="3" t="s">
        <v>25</v>
      </c>
      <c r="I28" s="3" t="s">
        <v>276</v>
      </c>
      <c r="J28" s="3" t="s">
        <v>277</v>
      </c>
      <c r="K28" s="3" t="s">
        <v>278</v>
      </c>
      <c r="L28" s="3" t="s">
        <v>25</v>
      </c>
      <c r="M28" t="s">
        <v>242</v>
      </c>
      <c r="N28" s="3" t="s">
        <v>279</v>
      </c>
      <c r="O28" s="3" t="s">
        <v>31</v>
      </c>
      <c r="P28" s="3" t="s">
        <v>32</v>
      </c>
      <c r="Q28" s="3" t="s">
        <v>31</v>
      </c>
      <c r="R28" s="3" t="s">
        <v>280</v>
      </c>
      <c r="S28" s="3">
        <v>8162449</v>
      </c>
      <c r="T28" s="3" t="s">
        <v>281</v>
      </c>
    </row>
  </sheetData>
  <hyperlinks>
    <hyperlink ref="E3" r:id="rId1" xr:uid="{6A1B6CCB-D7E8-4292-9733-567934F2C3A1}"/>
    <hyperlink ref="E4" r:id="rId2" xr:uid="{2C4BF967-F370-4FCC-A81E-AA0FB00903D5}"/>
    <hyperlink ref="E5" r:id="rId3" xr:uid="{4F546358-76AB-40E8-A4F0-08A47C569D10}"/>
    <hyperlink ref="E6" r:id="rId4" xr:uid="{609942AD-9BE8-485B-8EA3-8A4A3205E6D4}"/>
    <hyperlink ref="E2" r:id="rId5" xr:uid="{F191CC65-19C4-410D-A502-BCC68FCAD369}"/>
    <hyperlink ref="E7" r:id="rId6" xr:uid="{D7A5D10E-3AB1-4F84-9FE5-56713549647D}"/>
    <hyperlink ref="E8" r:id="rId7" xr:uid="{F0EDDB6B-14E8-477A-8853-F8DEC5422643}"/>
    <hyperlink ref="E9" r:id="rId8" xr:uid="{D7752A63-9830-447B-AA96-EA452C151F41}"/>
    <hyperlink ref="E10" r:id="rId9" xr:uid="{59ED404A-037B-4064-AA44-8435F94869FD}"/>
    <hyperlink ref="E11" r:id="rId10" xr:uid="{C9FEFBD9-7599-4FC0-82E1-7BDB94CF314E}"/>
    <hyperlink ref="E12" r:id="rId11" xr:uid="{256E0C02-9D82-42BF-85F8-D9AFDBE8EB78}"/>
    <hyperlink ref="E13" r:id="rId12" xr:uid="{DE21C9E1-4FE3-48CB-91B7-09125DC1963D}"/>
    <hyperlink ref="E14" r:id="rId13" xr:uid="{C02033C1-2AFF-4C9F-AB81-D7F0D0B8A942}"/>
    <hyperlink ref="E15" r:id="rId14" xr:uid="{1ED1E2C7-404E-4A14-9E32-49655492AF93}"/>
    <hyperlink ref="E16" r:id="rId15" xr:uid="{C3416551-F57A-410F-A53A-01C38E7CAB94}"/>
    <hyperlink ref="E17" r:id="rId16" xr:uid="{54D35800-D732-4635-83BB-83904EBEF9E1}"/>
    <hyperlink ref="E18" r:id="rId17" xr:uid="{C8689C5D-0B19-4B10-9AEF-4ECD472792B9}"/>
    <hyperlink ref="E19" r:id="rId18" xr:uid="{1EB28DE0-D1E5-4333-A98F-E18F88109BAB}"/>
    <hyperlink ref="E20" r:id="rId19" xr:uid="{AED8FF74-42F7-484E-8123-29FE0CA251B7}"/>
    <hyperlink ref="E21" r:id="rId20" xr:uid="{892DC094-9089-408D-97EA-2EFC9721DF53}"/>
    <hyperlink ref="E22" r:id="rId21" xr:uid="{C0BC3501-83D1-48B4-8C4A-1D8689A99B90}"/>
    <hyperlink ref="E23" r:id="rId22" xr:uid="{BF81A061-B10B-4E37-99F2-DE684CC13FA3}"/>
    <hyperlink ref="E24" r:id="rId23" xr:uid="{E2FCB57D-212F-442C-8305-B7535624AD2C}"/>
    <hyperlink ref="E25" r:id="rId24" xr:uid="{20023D28-0A0F-4EB3-A2D9-B796E6A4853D}"/>
    <hyperlink ref="E26" r:id="rId25" xr:uid="{444B17DE-336E-458B-910A-F013A8E77738}"/>
    <hyperlink ref="E27" r:id="rId26" xr:uid="{363B6210-3D6B-4F6F-ABDD-961D72D6AB85}"/>
    <hyperlink ref="E28" r:id="rId27" xr:uid="{C018931C-43B6-4D68-BDFF-363B46D54A77}"/>
  </hyperlinks>
  <pageMargins left="0.75" right="0.75" top="1" bottom="1" header="0.5" footer="0.5"/>
  <legacyDrawing r:id="rId28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Abdurahman Sharif</cp:lastModifiedBy>
  <dcterms:created xsi:type="dcterms:W3CDTF">2026-06-07T20:26:20Z</dcterms:created>
  <dcterms:modified xsi:type="dcterms:W3CDTF">2026-06-13T15:33:11Z</dcterms:modified>
</cp:coreProperties>
</file>